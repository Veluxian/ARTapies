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1/Grupo 6/"/>
    </mc:Choice>
  </mc:AlternateContent>
  <xr:revisionPtr revIDLastSave="0" documentId="13_ncr:1_{DB1130C8-F9EA-744A-BE0E-4B0BCAB47C07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/>
  <c r="J52" i="1"/>
  <c r="K52" i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 s="1"/>
  <c r="F41" i="1"/>
  <c r="G41" i="1"/>
  <c r="D41" i="1"/>
  <c r="E41" i="1" s="1"/>
  <c r="J40" i="1"/>
  <c r="K40" i="1" s="1"/>
  <c r="H40" i="1"/>
  <c r="I40" i="1" s="1"/>
  <c r="F40" i="1"/>
  <c r="G40" i="1"/>
  <c r="D40" i="1"/>
  <c r="E40" i="1"/>
  <c r="J39" i="1"/>
  <c r="K39" i="1"/>
  <c r="H39" i="1"/>
  <c r="I39" i="1" s="1"/>
  <c r="F39" i="1"/>
  <c r="G39" i="1" s="1"/>
  <c r="G46" i="1" s="1"/>
  <c r="D39" i="1"/>
  <c r="E39" i="1" s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 s="1"/>
  <c r="H28" i="1"/>
  <c r="I28" i="1" s="1"/>
  <c r="F28" i="1"/>
  <c r="G28" i="1"/>
  <c r="D28" i="1"/>
  <c r="E28" i="1"/>
  <c r="J27" i="1"/>
  <c r="K27" i="1"/>
  <c r="K33" i="1" s="1"/>
  <c r="H27" i="1"/>
  <c r="I27" i="1" s="1"/>
  <c r="F27" i="1"/>
  <c r="G27" i="1" s="1"/>
  <c r="D27" i="1"/>
  <c r="E27" i="1" s="1"/>
  <c r="J26" i="1"/>
  <c r="K26" i="1"/>
  <c r="H26" i="1"/>
  <c r="I26" i="1"/>
  <c r="F26" i="1"/>
  <c r="G26" i="1"/>
  <c r="D26" i="1"/>
  <c r="E26" i="1" s="1"/>
  <c r="E72" i="1"/>
  <c r="K85" i="1"/>
  <c r="E85" i="1"/>
  <c r="I85" i="1"/>
  <c r="G85" i="1"/>
  <c r="G72" i="1"/>
  <c r="I72" i="1"/>
  <c r="K72" i="1"/>
  <c r="C72" i="1"/>
  <c r="C73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D15" i="1"/>
  <c r="E15" i="1" s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 s="1"/>
  <c r="H15" i="1"/>
  <c r="I15" i="1" s="1"/>
  <c r="I20" i="1" s="1"/>
  <c r="F15" i="1"/>
  <c r="G15" i="1" s="1"/>
  <c r="J14" i="1"/>
  <c r="K14" i="1" s="1"/>
  <c r="H14" i="1"/>
  <c r="I14" i="1"/>
  <c r="F14" i="1"/>
  <c r="G14" i="1" s="1"/>
  <c r="J13" i="1"/>
  <c r="K13" i="1"/>
  <c r="H13" i="1"/>
  <c r="I13" i="1"/>
  <c r="F13" i="1"/>
  <c r="G13" i="1"/>
  <c r="E59" i="1" l="1"/>
  <c r="K59" i="1"/>
  <c r="I59" i="1"/>
  <c r="G59" i="1"/>
  <c r="C59" i="1" s="1"/>
  <c r="C60" i="1" s="1"/>
  <c r="D4" i="1" s="1"/>
  <c r="E46" i="1"/>
  <c r="I46" i="1"/>
  <c r="K46" i="1"/>
  <c r="E33" i="1"/>
  <c r="I33" i="1"/>
  <c r="G33" i="1"/>
  <c r="G20" i="1"/>
  <c r="K20" i="1"/>
  <c r="E20" i="1"/>
  <c r="C20" i="1"/>
  <c r="C21" i="1" s="1"/>
  <c r="C4" i="1" s="1"/>
  <c r="E4" i="1" l="1"/>
  <c r="C46" i="1"/>
  <c r="C47" i="1" s="1"/>
  <c r="C6" i="1" s="1"/>
  <c r="E6" i="1" s="1"/>
  <c r="C33" i="1"/>
  <c r="C34" i="1" s="1"/>
  <c r="C5" i="1" s="1"/>
  <c r="E5" i="1" s="1"/>
</calcChain>
</file>

<file path=xl/sharedStrings.xml><?xml version="1.0" encoding="utf-8"?>
<sst xmlns="http://schemas.openxmlformats.org/spreadsheetml/2006/main" count="167" uniqueCount="69">
  <si>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</si>
  <si>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</si>
  <si>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</si>
  <si>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</si>
  <si>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</si>
  <si>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</si>
  <si>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</si>
  <si>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</si>
  <si>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</si>
  <si>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</si>
  <si>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</si>
  <si>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</si>
  <si>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</si>
  <si>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</si>
  <si>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</si>
  <si>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</si>
  <si>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</si>
  <si>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</si>
  <si>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</si>
  <si>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</si>
  <si>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</si>
  <si>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</si>
  <si>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</si>
  <si>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</si>
  <si>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</si>
  <si>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</si>
  <si>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</si>
  <si>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</si>
  <si>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</si>
  <si>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</si>
  <si>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</si>
  <si>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</si>
  <si>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</si>
  <si>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</si>
  <si>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</si>
  <si>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</si>
  <si>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</si>
  <si>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</si>
  <si>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</si>
  <si>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</si>
  <si>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</si>
  <si>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</si>
  <si>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</si>
  <si>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</si>
  <si>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</si>
  <si>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</si>
  <si>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</si>
  <si>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</si>
  <si>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</si>
  <si>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</si>
  <si>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</si>
  <si>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</si>
  <si>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</si>
  <si>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</si>
  <si>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</si>
  <si>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</si>
  <si>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</si>
  <si>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</si>
  <si>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</si>
  <si>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</si>
  <si>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</si>
  <si>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</si>
  <si>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</si>
  <si>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Joaquín Orellana</t>
  </si>
  <si>
    <t>Mateo Araneda</t>
  </si>
  <si>
    <t>Roberto Pérez</t>
  </si>
  <si>
    <t>Matias Laborie</t>
  </si>
  <si>
    <t>Partida en falso</t>
  </si>
  <si>
    <t>Presentación faltaron los slides de Resultados y Obstaculos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</si>
</sst>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F9" sqref="F9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5.7</v>
      </c>
      <c r="D4" s="36">
        <f>C60</f>
        <v>7</v>
      </c>
      <c r="E4" s="35">
        <f>C4*C$2+D4*D$2</f>
        <v>6.09</v>
      </c>
    </row>
    <row r="5" spans="1:11" ht="17" x14ac:dyDescent="0.2">
      <c r="A5" s="3">
        <v>2</v>
      </c>
      <c r="B5" s="38" t="s">
        <v>64</v>
      </c>
      <c r="C5" s="30">
        <f>C34</f>
        <v>5.7</v>
      </c>
      <c r="D5" s="36">
        <f>C73</f>
        <v>7</v>
      </c>
      <c r="E5" s="35">
        <f t="shared" ref="E5:E6" si="0">C5*C$2+D5*D$2</f>
        <v>6.09</v>
      </c>
    </row>
    <row r="6" spans="1:11" ht="17" x14ac:dyDescent="0.2">
      <c r="A6" s="3">
        <v>3</v>
      </c>
      <c r="B6" s="38" t="s">
        <v>65</v>
      </c>
      <c r="C6" s="30">
        <f>C47</f>
        <v>5.7</v>
      </c>
      <c r="D6" s="36">
        <f>C86</f>
        <v>7</v>
      </c>
      <c r="E6" s="35">
        <f t="shared" si="0"/>
        <v>6.09</v>
      </c>
    </row>
    <row r="7" spans="1:11" ht="15" customHeight="1" x14ac:dyDescent="0.2">
      <c r="B7" s="38" t="s">
        <v>66</v>
      </c>
      <c r="C7" s="30">
        <v>5.7</v>
      </c>
      <c r="D7" s="36">
        <v>7</v>
      </c>
      <c r="E7" s="35">
        <v>6.09</v>
      </c>
    </row>
    <row r="11" spans="1:11" ht="19" outlineLevel="1" x14ac:dyDescent="0.2">
      <c r="A11" s="48" t="s">
        <v>4</v>
      </c>
      <c r="B11" s="11" t="str">
        <f>B4</f>
        <v>Joaquín Orellana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9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82</v>
      </c>
      <c r="D20" s="13"/>
      <c r="E20" s="13">
        <f>SUM(E13:E19)</f>
        <v>55</v>
      </c>
      <c r="F20" s="13"/>
      <c r="G20" s="13">
        <f>SUM(G13:G19)</f>
        <v>27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5.7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8" t="s">
        <v>4</v>
      </c>
      <c r="B24" s="11" t="str">
        <f>B5</f>
        <v>Mateo Araneda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9</v>
      </c>
      <c r="D28" s="12" t="str">
        <f t="shared" si="7"/>
        <v/>
      </c>
      <c r="E28" s="12" t="str">
        <f>IF(D28="X",100*0.2,"")</f>
        <v/>
      </c>
      <c r="F28" s="12" t="str">
        <f t="shared" si="8"/>
        <v>X</v>
      </c>
      <c r="G28" s="12">
        <f>IF(F28="X",60*0.2,"")</f>
        <v>12</v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82</v>
      </c>
      <c r="D33" s="13"/>
      <c r="E33" s="13">
        <f>SUM(E26:E32)</f>
        <v>55</v>
      </c>
      <c r="F33" s="13"/>
      <c r="G33" s="13">
        <f>SUM(G26:G32)</f>
        <v>27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5.7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8" t="s">
        <v>4</v>
      </c>
      <c r="B37" s="11" t="str">
        <f>B6</f>
        <v>Roberto Pérez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9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5.7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9" t="s">
        <v>14</v>
      </c>
      <c r="B50" s="11" t="str">
        <f>B4</f>
        <v>Joaquín Orellana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9" t="s">
        <v>15</v>
      </c>
      <c r="B63" s="11" t="str">
        <f>B5</f>
        <v>Mateo Araneda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9" t="s">
        <v>16</v>
      </c>
      <c r="B76" s="11" t="str">
        <f>B6</f>
        <v>Roberto Pérez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67</v>
      </c>
    </row>
    <row r="90" spans="1:11" ht="15.75" customHeight="1" x14ac:dyDescent="0.2">
      <c r="B90" t="s">
        <v>68</v>
      </c>
    </row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C78:C84 C26:C32 C39:C45 C65:C71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2025-12-10T01:16:22Z</dcterms:modified>
  <cp:category/>
  <cp:contentStatus/>
</cp:coreProperties>
</file>